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wwww/Desktop/DATA555_dashborad/data/"/>
    </mc:Choice>
  </mc:AlternateContent>
  <xr:revisionPtr revIDLastSave="0" documentId="13_ncr:1_{15219B6D-258D-0B4A-8079-1767D1169765}" xr6:coauthVersionLast="47" xr6:coauthVersionMax="47" xr10:uidLastSave="{00000000-0000-0000-0000-000000000000}"/>
  <bookViews>
    <workbookView xWindow="1080" yWindow="1260" windowWidth="27640" windowHeight="16740" xr2:uid="{68036B60-4E5E-714F-8FD7-AEC87887001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3" i="1" l="1"/>
  <c r="A4" i="1" s="1"/>
  <c r="A5" i="1" s="1"/>
  <c r="A6" i="1" s="1"/>
  <c r="A7" i="1" s="1"/>
  <c r="A8" i="1" s="1"/>
  <c r="A9" i="1" s="1"/>
  <c r="A10" i="1" s="1"/>
  <c r="A11" i="1" s="1"/>
  <c r="A12" i="1" s="1"/>
  <c r="A13" i="1" s="1"/>
  <c r="A14" i="1" s="1"/>
  <c r="A15" i="1" s="1"/>
  <c r="A16" i="1" s="1"/>
  <c r="A17" i="1" s="1"/>
  <c r="A18" i="1" s="1"/>
  <c r="A19" i="1" s="1"/>
  <c r="A20" i="1" s="1"/>
  <c r="A21" i="1" s="1"/>
  <c r="A22" i="1" s="1"/>
  <c r="A23" i="1" s="1"/>
  <c r="A24" i="1" s="1"/>
  <c r="A25" i="1" s="1"/>
  <c r="A26" i="1" s="1"/>
  <c r="A27" i="1" s="1"/>
  <c r="A28" i="1" s="1"/>
  <c r="A29" i="1" s="1"/>
  <c r="A30" i="1" s="1"/>
  <c r="A31" i="1" s="1"/>
</calcChain>
</file>

<file path=xl/sharedStrings.xml><?xml version="1.0" encoding="utf-8"?>
<sst xmlns="http://schemas.openxmlformats.org/spreadsheetml/2006/main" count="63" uniqueCount="35">
  <si>
    <t>delta_abs</t>
  </si>
  <si>
    <t>theta_abs</t>
  </si>
  <si>
    <t>alpha_abs</t>
  </si>
  <si>
    <t>beta_abs</t>
  </si>
  <si>
    <t>delta_rel</t>
  </si>
  <si>
    <t>theta_rel</t>
  </si>
  <si>
    <t>alpha_rel</t>
  </si>
  <si>
    <t xml:space="preserve">beta_rel </t>
  </si>
  <si>
    <t>slow (delta+theta)</t>
  </si>
  <si>
    <t>fast (alpha+beta)</t>
  </si>
  <si>
    <t>delta/alpha</t>
  </si>
  <si>
    <t>(theta+alpha)/delta</t>
  </si>
  <si>
    <t>delta/(alpha+beta)</t>
  </si>
  <si>
    <t>(delta+theta)/(alpha+beta)</t>
  </si>
  <si>
    <t>wc_global</t>
  </si>
  <si>
    <t>wc_delta</t>
  </si>
  <si>
    <t>wc_theta</t>
  </si>
  <si>
    <t>wc_alpha</t>
  </si>
  <si>
    <t>wc_beta</t>
  </si>
  <si>
    <t>global_energy</t>
  </si>
  <si>
    <t>rel_delta_ene</t>
  </si>
  <si>
    <t>rel_theta_ene</t>
  </si>
  <si>
    <t>rel_alpha_ene</t>
  </si>
  <si>
    <t>rel_beta_ene</t>
  </si>
  <si>
    <t>complexity_total</t>
  </si>
  <si>
    <t>c_delta</t>
  </si>
  <si>
    <t>c_theta</t>
  </si>
  <si>
    <t>c_alpha</t>
  </si>
  <si>
    <t>c_beta</t>
  </si>
  <si>
    <t>age</t>
  </si>
  <si>
    <t>gender</t>
  </si>
  <si>
    <t>Diagnosis</t>
  </si>
  <si>
    <t>AD</t>
  </si>
  <si>
    <t>MCI</t>
  </si>
  <si>
    <t>Patient_ID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</si>
</sst>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2"/>
      <color theme="1"/>
      <name val="Aptos Narrow"/>
      <family val="2"/>
      <scheme val="minor"/>
    </font>
    <font>
      <sz val="11"/>
      <color rgb="FF000000"/>
      <name val="Calibri"/>
      <family val="2"/>
    </font>
    <font>
      <sz val="11"/>
      <color theme="1"/>
      <name val="Aptos Narrow"/>
      <family val="2"/>
      <scheme val="minor"/>
    </font>
    <font>
      <sz val="12"/>
      <color rgb="FF000000"/>
      <name val="Aptos Narrow"/>
      <family val="2"/>
      <scheme val="minor"/>
    </font>
    <font>
      <sz val="12"/>
      <color rgb="FF000000"/>
      <name val="Calibri"/>
      <family val="2"/>
    </font>
    <font>
      <sz val="11"/>
      <color theme="1"/>
      <name val="Calibri"/>
      <family val="2"/>
    </font>
    <font>
      <sz val="12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 applyAlignment="1">
      <alignment horizontal="left" vertical="center"/>
    </xf>
    <xf numFmtId="0" fontId="1" fillId="0" borderId="0" xfId="0" applyFont="1" applyAlignment="1">
      <alignment horizontal="right" vertical="center"/>
    </xf>
    <xf numFmtId="0" fontId="2" fillId="0" borderId="0" xfId="0" applyFont="1"/>
    <xf numFmtId="0" fontId="1" fillId="0" borderId="0" xfId="0" applyFont="1" applyAlignment="1">
      <alignment horizontal="left" wrapText="1"/>
    </xf>
    <xf numFmtId="0" fontId="1" fillId="0" borderId="0" xfId="0" applyFont="1" applyAlignment="1">
      <alignment horizontal="left"/>
    </xf>
    <xf numFmtId="0" fontId="3" fillId="0" borderId="0" xfId="0" applyFont="1"/>
    <xf numFmtId="0" fontId="1" fillId="0" borderId="0" xfId="0" applyFont="1" applyAlignment="1">
      <alignment horizontal="right"/>
    </xf>
    <xf numFmtId="0" fontId="4" fillId="0" borderId="0" xfId="0" applyFont="1" applyAlignment="1">
      <alignment horizontal="right"/>
    </xf>
    <xf numFmtId="0" fontId="5" fillId="0" borderId="0" xfId="0" applyFont="1"/>
    <xf numFmtId="0" fontId="6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B8BB6F-A0EA-9C41-83F7-E22E81B4783D}">
  <dimension ref="A1:AG32"/>
  <sheetViews>
    <sheetView tabSelected="1" workbookViewId="0">
      <selection activeCell="B34" sqref="B34"/>
    </sheetView>
  </sheetViews>
  <sheetFormatPr baseColWidth="10" defaultRowHeight="16" x14ac:dyDescent="0.2"/>
  <sheetData>
    <row r="1" spans="1:33" x14ac:dyDescent="0.2">
      <c r="A1" t="s">
        <v>34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s="1" t="s">
        <v>29</v>
      </c>
      <c r="AF1" s="1" t="s">
        <v>30</v>
      </c>
      <c r="AG1" s="1" t="s">
        <v>31</v>
      </c>
    </row>
    <row r="2" spans="1:33" x14ac:dyDescent="0.2">
      <c r="A2">
        <v>1</v>
      </c>
      <c r="B2" s="2">
        <v>2234.7968679999999</v>
      </c>
      <c r="C2" s="2">
        <v>763.14040179999995</v>
      </c>
      <c r="D2" s="2">
        <v>676.75224930000002</v>
      </c>
      <c r="E2" s="2">
        <v>1331.6998510000001</v>
      </c>
      <c r="F2" s="2">
        <v>0.43997297899999999</v>
      </c>
      <c r="G2" s="2">
        <v>0.15024235999999999</v>
      </c>
      <c r="H2" s="2">
        <v>0.13323479499999999</v>
      </c>
      <c r="I2" s="2">
        <v>0.26217682599999997</v>
      </c>
      <c r="J2" s="2">
        <v>2997.9372699999999</v>
      </c>
      <c r="K2" s="2">
        <v>2008.4521</v>
      </c>
      <c r="L2" s="2">
        <v>3.3022378130000001</v>
      </c>
      <c r="M2" s="2">
        <v>1.081244133</v>
      </c>
      <c r="N2" s="2">
        <v>1.112696124</v>
      </c>
      <c r="O2" s="2">
        <v>1.4926605770000001</v>
      </c>
      <c r="P2" s="3">
        <v>0.62385599999999997</v>
      </c>
      <c r="Q2" s="2">
        <v>0.44888499999999998</v>
      </c>
      <c r="R2" s="2">
        <v>0.54116699999999995</v>
      </c>
      <c r="S2" s="3">
        <v>0.549902</v>
      </c>
      <c r="T2" s="2">
        <v>0.51352399999999998</v>
      </c>
      <c r="U2" s="2">
        <v>6.5926999999999999E-2</v>
      </c>
      <c r="V2" s="2">
        <v>0.11670800000000001</v>
      </c>
      <c r="W2" s="2">
        <v>5.0160999999999997E-2</v>
      </c>
      <c r="X2" s="2">
        <v>5.2930999999999999E-2</v>
      </c>
      <c r="Y2" s="2">
        <v>0.169125</v>
      </c>
      <c r="Z2" s="2">
        <v>5.5803842996982201E-3</v>
      </c>
      <c r="AA2">
        <v>5.0035601474329103E-2</v>
      </c>
      <c r="AB2" s="2">
        <v>1.8693793710264899E-2</v>
      </c>
      <c r="AC2">
        <v>1.25630034066302E-2</v>
      </c>
      <c r="AD2">
        <v>7.1533866408961004E-3</v>
      </c>
      <c r="AE2" s="4">
        <v>66</v>
      </c>
      <c r="AF2" s="5">
        <v>0</v>
      </c>
      <c r="AG2" s="6" t="s">
        <v>32</v>
      </c>
    </row>
    <row r="3" spans="1:33" x14ac:dyDescent="0.2">
      <c r="A3">
        <f>1+A2</f>
        <v>2</v>
      </c>
      <c r="B3" s="7">
        <v>221.88910859999999</v>
      </c>
      <c r="C3" s="7">
        <v>67.799785200000002</v>
      </c>
      <c r="D3" s="7">
        <v>45.925868860000001</v>
      </c>
      <c r="E3" s="7">
        <v>110.08893740000001</v>
      </c>
      <c r="F3" s="7">
        <v>0.49116058299999998</v>
      </c>
      <c r="G3" s="7">
        <v>0.15007758700000001</v>
      </c>
      <c r="H3" s="7">
        <v>0.101658782</v>
      </c>
      <c r="I3" s="7">
        <v>0.243686349</v>
      </c>
      <c r="J3" s="7">
        <v>289.688894</v>
      </c>
      <c r="K3" s="7">
        <v>156.01480000000001</v>
      </c>
      <c r="L3" s="7">
        <v>4.8314620000000001</v>
      </c>
      <c r="M3" s="7">
        <v>1.033034</v>
      </c>
      <c r="N3" s="7">
        <v>1.422231</v>
      </c>
      <c r="O3" s="7">
        <v>1.8568039999999999</v>
      </c>
      <c r="P3" s="3">
        <v>0.43562600000000001</v>
      </c>
      <c r="Q3" s="3">
        <v>0.52447100000000002</v>
      </c>
      <c r="R3" s="3">
        <v>0.56340699999999999</v>
      </c>
      <c r="S3" s="3">
        <v>0.54691199999999995</v>
      </c>
      <c r="T3" s="3">
        <v>0.50584600000000002</v>
      </c>
      <c r="U3" s="3">
        <v>2.6699999999999998E-4</v>
      </c>
      <c r="V3" s="3">
        <v>0.4461</v>
      </c>
      <c r="W3" s="3">
        <v>0.112744</v>
      </c>
      <c r="X3" s="3">
        <v>7.2512999999999994E-2</v>
      </c>
      <c r="Y3" s="3">
        <v>0.16736599999999999</v>
      </c>
      <c r="Z3" s="3">
        <v>7.4306288485367503E-3</v>
      </c>
      <c r="AA3">
        <v>4.9883291460455302E-2</v>
      </c>
      <c r="AB3" s="3">
        <v>1.9254898612749299E-2</v>
      </c>
      <c r="AC3" s="3">
        <v>1.23865073567522E-2</v>
      </c>
      <c r="AD3" s="3">
        <v>7.06230790215187E-3</v>
      </c>
      <c r="AE3" s="4">
        <v>58</v>
      </c>
      <c r="AF3" s="5">
        <v>0</v>
      </c>
      <c r="AG3" s="6" t="s">
        <v>32</v>
      </c>
    </row>
    <row r="4" spans="1:33" x14ac:dyDescent="0.2">
      <c r="A4">
        <f t="shared" ref="A4:A32" si="0">1+A3</f>
        <v>3</v>
      </c>
      <c r="B4" s="7">
        <v>256.72816560000001</v>
      </c>
      <c r="C4" s="7">
        <v>129.65159980000001</v>
      </c>
      <c r="D4" s="7">
        <v>38.563239549999999</v>
      </c>
      <c r="E4" s="7">
        <v>121.87636089999999</v>
      </c>
      <c r="F4" s="7">
        <v>0.46209684099999998</v>
      </c>
      <c r="G4" s="7">
        <v>0.233365881</v>
      </c>
      <c r="H4" s="7">
        <v>6.9411749999999994E-2</v>
      </c>
      <c r="I4" s="7">
        <v>0.219370871</v>
      </c>
      <c r="J4" s="7">
        <v>386.37976500000002</v>
      </c>
      <c r="K4" s="7">
        <v>160.43960000000001</v>
      </c>
      <c r="L4" s="7">
        <v>6.6573289999999998</v>
      </c>
      <c r="M4" s="7">
        <v>1.380209</v>
      </c>
      <c r="N4" s="7">
        <v>1.600155</v>
      </c>
      <c r="O4" s="7">
        <v>2.4082569999999999</v>
      </c>
      <c r="P4" s="3">
        <v>0.38071199999999999</v>
      </c>
      <c r="Q4" s="3">
        <v>0.50606600000000002</v>
      </c>
      <c r="R4" s="3">
        <v>0.536582</v>
      </c>
      <c r="S4" s="3">
        <v>0.51128600000000002</v>
      </c>
      <c r="T4" s="3">
        <v>0.44639400000000001</v>
      </c>
      <c r="U4">
        <v>1.7699999999999999E-4</v>
      </c>
      <c r="V4">
        <v>0.45338899999999999</v>
      </c>
      <c r="W4">
        <v>0.20927499999999999</v>
      </c>
      <c r="X4">
        <v>7.5613E-2</v>
      </c>
      <c r="Y4">
        <v>0.148955</v>
      </c>
      <c r="Z4">
        <v>9.5389319928527103E-3</v>
      </c>
      <c r="AA4">
        <v>4.8388869850362101E-2</v>
      </c>
      <c r="AB4">
        <v>1.9983958778414801E-2</v>
      </c>
      <c r="AC4">
        <v>1.33785662448267E-2</v>
      </c>
      <c r="AD4">
        <v>8.3407473212514897E-3</v>
      </c>
      <c r="AE4" s="4">
        <v>50</v>
      </c>
      <c r="AF4" s="5">
        <v>1</v>
      </c>
      <c r="AG4" s="6" t="s">
        <v>32</v>
      </c>
    </row>
    <row r="5" spans="1:33" x14ac:dyDescent="0.2">
      <c r="A5">
        <f t="shared" si="0"/>
        <v>4</v>
      </c>
      <c r="B5" s="7">
        <v>576.37609680000003</v>
      </c>
      <c r="C5" s="7">
        <v>585.65466509999999</v>
      </c>
      <c r="D5" s="7">
        <v>490.81672070000002</v>
      </c>
      <c r="E5" s="7">
        <v>363.12142189999997</v>
      </c>
      <c r="F5" s="7">
        <v>0.278971839</v>
      </c>
      <c r="G5" s="7">
        <v>0.28346275900000001</v>
      </c>
      <c r="H5" s="7">
        <v>0.23756023900000001</v>
      </c>
      <c r="I5" s="7">
        <v>0.17575442699999999</v>
      </c>
      <c r="J5" s="7">
        <v>1162.0307600000001</v>
      </c>
      <c r="K5" s="7">
        <v>853.93809999999996</v>
      </c>
      <c r="L5" s="7">
        <v>1.17432</v>
      </c>
      <c r="M5" s="7">
        <v>2.9644940000000002</v>
      </c>
      <c r="N5" s="7">
        <v>0.67496199999999995</v>
      </c>
      <c r="O5" s="7">
        <v>1.3607899999999999</v>
      </c>
      <c r="P5" s="3">
        <v>0.38275500000000001</v>
      </c>
      <c r="Q5" s="3">
        <v>0.47463100000000003</v>
      </c>
      <c r="R5" s="3">
        <v>0.53607199999999999</v>
      </c>
      <c r="S5" s="3">
        <v>0.55481100000000005</v>
      </c>
      <c r="T5" s="3">
        <v>0.45928600000000003</v>
      </c>
      <c r="U5" s="3">
        <v>9.5600000000000004E-4</v>
      </c>
      <c r="V5" s="3">
        <v>0.28259899999999999</v>
      </c>
      <c r="W5">
        <v>0.210342</v>
      </c>
      <c r="X5">
        <v>0.22562499999999999</v>
      </c>
      <c r="Y5">
        <v>0.17921000000000001</v>
      </c>
      <c r="Z5">
        <v>8.5207549100980995E-3</v>
      </c>
      <c r="AA5">
        <v>5.0311666861962999E-2</v>
      </c>
      <c r="AB5">
        <v>1.92521112506524E-2</v>
      </c>
      <c r="AC5">
        <v>1.28447850486847E-2</v>
      </c>
      <c r="AD5">
        <v>7.4079879978754303E-3</v>
      </c>
      <c r="AE5" s="4">
        <v>69</v>
      </c>
      <c r="AF5" s="5">
        <v>1</v>
      </c>
      <c r="AG5" s="6" t="s">
        <v>32</v>
      </c>
    </row>
    <row r="6" spans="1:33" x14ac:dyDescent="0.2">
      <c r="A6">
        <f t="shared" si="0"/>
        <v>5</v>
      </c>
      <c r="B6" s="7">
        <v>721.27998419999994</v>
      </c>
      <c r="C6" s="7">
        <v>336.6755574</v>
      </c>
      <c r="D6" s="7">
        <v>91.103891450000006</v>
      </c>
      <c r="E6" s="7">
        <v>91.176755490000005</v>
      </c>
      <c r="F6" s="7">
        <v>0.57500866399999995</v>
      </c>
      <c r="G6" s="7">
        <v>0.26839974300000002</v>
      </c>
      <c r="H6" s="7">
        <v>7.2628559999999995E-2</v>
      </c>
      <c r="I6" s="7">
        <v>7.2686648000000006E-2</v>
      </c>
      <c r="J6" s="7">
        <v>1057.9555399999999</v>
      </c>
      <c r="K6" s="7">
        <v>182.28059999999999</v>
      </c>
      <c r="L6" s="7">
        <v>7.9171149999999999</v>
      </c>
      <c r="M6" s="7">
        <v>4.6917600000000004</v>
      </c>
      <c r="N6" s="7">
        <v>3.9569749999999999</v>
      </c>
      <c r="O6" s="7">
        <v>5.8039930000000002</v>
      </c>
      <c r="P6" s="3">
        <v>0.46269399999999999</v>
      </c>
      <c r="Q6" s="3">
        <v>0.53486</v>
      </c>
      <c r="R6" s="3">
        <v>0.57077199999999995</v>
      </c>
      <c r="S6" s="3">
        <v>0.56428199999999995</v>
      </c>
      <c r="T6" s="3">
        <v>0.51136599999999999</v>
      </c>
      <c r="U6">
        <v>5.5900000000000004E-4</v>
      </c>
      <c r="V6" s="3">
        <v>0.56719699999999995</v>
      </c>
      <c r="W6" s="3">
        <v>0.23568500000000001</v>
      </c>
      <c r="X6">
        <v>8.2343E-2</v>
      </c>
      <c r="Y6">
        <v>6.3739000000000004E-2</v>
      </c>
      <c r="Z6">
        <v>1.1306926497853E-2</v>
      </c>
      <c r="AA6">
        <v>5.2027754426951497E-2</v>
      </c>
      <c r="AB6">
        <v>1.92105786198551E-2</v>
      </c>
      <c r="AC6">
        <v>1.28033796737098E-2</v>
      </c>
      <c r="AD6">
        <v>7.5470685057512296E-3</v>
      </c>
      <c r="AE6" s="4">
        <v>77</v>
      </c>
      <c r="AF6" s="5">
        <v>0</v>
      </c>
      <c r="AG6" s="6" t="s">
        <v>32</v>
      </c>
    </row>
    <row r="7" spans="1:33" x14ac:dyDescent="0.2">
      <c r="A7">
        <f t="shared" si="0"/>
        <v>6</v>
      </c>
      <c r="B7" s="7">
        <v>156.90530229999999</v>
      </c>
      <c r="C7" s="7">
        <v>417.16343669999998</v>
      </c>
      <c r="D7" s="7">
        <v>180.8342256</v>
      </c>
      <c r="E7" s="7">
        <v>305.89022119999998</v>
      </c>
      <c r="F7" s="7">
        <v>0.143551078</v>
      </c>
      <c r="G7" s="7">
        <v>0.38165861800000001</v>
      </c>
      <c r="H7" s="7">
        <v>0.16544340799999999</v>
      </c>
      <c r="I7" s="7">
        <v>0.279855876</v>
      </c>
      <c r="J7" s="7">
        <v>574.06873900000005</v>
      </c>
      <c r="K7" s="7">
        <v>486.7244</v>
      </c>
      <c r="L7" s="7">
        <v>0.86767499999999997</v>
      </c>
      <c r="M7" s="7">
        <v>1.954942</v>
      </c>
      <c r="N7" s="7">
        <v>0.32236999999999999</v>
      </c>
      <c r="O7" s="7">
        <v>1.1794530000000001</v>
      </c>
      <c r="P7" s="3">
        <v>0.39251900000000001</v>
      </c>
      <c r="Q7" s="7">
        <v>0.45227000000000001</v>
      </c>
      <c r="R7" s="7">
        <v>0.55022700000000002</v>
      </c>
      <c r="S7" s="7">
        <v>0.56543399999999999</v>
      </c>
      <c r="T7" s="3">
        <v>0.47348099999999999</v>
      </c>
      <c r="U7" s="7">
        <v>5.8500000000000002E-4</v>
      </c>
      <c r="V7" s="3">
        <v>0.18629499999999999</v>
      </c>
      <c r="W7" s="7">
        <v>0.21016499999999999</v>
      </c>
      <c r="X7" s="3">
        <v>0.20039100000000001</v>
      </c>
      <c r="Y7" s="7">
        <v>0.232655</v>
      </c>
      <c r="Z7" s="3">
        <v>7.6657150148893597E-3</v>
      </c>
      <c r="AA7" s="7">
        <v>5.1078628222928503E-2</v>
      </c>
      <c r="AB7" s="3">
        <v>1.84410742839917E-2</v>
      </c>
      <c r="AC7">
        <v>1.2733352263460101E-2</v>
      </c>
      <c r="AD7">
        <v>7.3684371129477998E-3</v>
      </c>
      <c r="AE7" s="4">
        <v>80</v>
      </c>
      <c r="AF7" s="5">
        <v>0</v>
      </c>
      <c r="AG7" s="6" t="s">
        <v>32</v>
      </c>
    </row>
    <row r="8" spans="1:33" x14ac:dyDescent="0.2">
      <c r="A8">
        <f t="shared" si="0"/>
        <v>7</v>
      </c>
      <c r="B8" s="7">
        <v>421.24685749999998</v>
      </c>
      <c r="C8" s="7">
        <v>136.1772531</v>
      </c>
      <c r="D8" s="7">
        <v>60.957315110000003</v>
      </c>
      <c r="E8" s="7">
        <v>174.4700407</v>
      </c>
      <c r="F8" s="7">
        <v>0.52515030200000001</v>
      </c>
      <c r="G8" s="7">
        <v>0.169766312</v>
      </c>
      <c r="H8" s="7">
        <v>7.5992856999999997E-2</v>
      </c>
      <c r="I8" s="7">
        <v>0.21750427999999999</v>
      </c>
      <c r="J8" s="7">
        <v>557.42411100000004</v>
      </c>
      <c r="K8" s="7">
        <v>235.42740000000001</v>
      </c>
      <c r="L8" s="7">
        <v>6.9105220000000003</v>
      </c>
      <c r="M8" s="7">
        <v>1.1299049999999999</v>
      </c>
      <c r="N8" s="7">
        <v>1.7892859999999999</v>
      </c>
      <c r="O8" s="7">
        <v>2.367712</v>
      </c>
      <c r="P8" s="7">
        <v>0.403451</v>
      </c>
      <c r="Q8" s="3">
        <v>0.49901699999999999</v>
      </c>
      <c r="R8" s="7">
        <v>0.54611299999999996</v>
      </c>
      <c r="S8" s="7">
        <v>0.530331</v>
      </c>
      <c r="T8" s="3">
        <v>0.48121399999999998</v>
      </c>
      <c r="U8">
        <v>4.35E-4</v>
      </c>
      <c r="V8" s="3">
        <v>0.49130699999999999</v>
      </c>
      <c r="W8">
        <v>0.13225300000000001</v>
      </c>
      <c r="X8">
        <v>6.6411999999999999E-2</v>
      </c>
      <c r="Y8">
        <v>0.179616</v>
      </c>
      <c r="Z8">
        <v>8.1388667146916997E-3</v>
      </c>
      <c r="AA8">
        <v>5.2544218154362901E-2</v>
      </c>
      <c r="AB8">
        <v>1.9298498068692899E-2</v>
      </c>
      <c r="AC8">
        <v>1.28317227947957E-2</v>
      </c>
      <c r="AD8">
        <v>7.4178852252738698E-3</v>
      </c>
      <c r="AE8" s="4">
        <v>65</v>
      </c>
      <c r="AF8" s="5">
        <v>0</v>
      </c>
      <c r="AG8" s="6" t="s">
        <v>32</v>
      </c>
    </row>
    <row r="9" spans="1:33" x14ac:dyDescent="0.2">
      <c r="A9">
        <f t="shared" si="0"/>
        <v>8</v>
      </c>
      <c r="B9" s="2">
        <v>147613.45170000001</v>
      </c>
      <c r="C9" s="2">
        <v>45761.273330000004</v>
      </c>
      <c r="D9" s="2">
        <v>17047.204089999999</v>
      </c>
      <c r="E9" s="2">
        <v>20972.433850000001</v>
      </c>
      <c r="F9" s="2">
        <v>0.62792183300000004</v>
      </c>
      <c r="G9" s="2">
        <v>0.19466046100000001</v>
      </c>
      <c r="H9" s="2">
        <v>7.2515828000000004E-2</v>
      </c>
      <c r="I9" s="2">
        <v>8.9213069000000006E-2</v>
      </c>
      <c r="J9" s="2">
        <v>193374.72500000001</v>
      </c>
      <c r="K9" s="2">
        <v>38019.637940000001</v>
      </c>
      <c r="L9" s="2">
        <v>8.6591003969999996</v>
      </c>
      <c r="M9" s="2">
        <v>2.994811087</v>
      </c>
      <c r="N9" s="2">
        <v>3.882558059</v>
      </c>
      <c r="O9" s="2">
        <v>5.0861800769999999</v>
      </c>
      <c r="P9" s="3">
        <v>0.54484500000000002</v>
      </c>
      <c r="Q9" s="3">
        <v>0.612124</v>
      </c>
      <c r="R9" s="3">
        <v>0.61899099999999996</v>
      </c>
      <c r="S9" s="3">
        <v>0.60751500000000003</v>
      </c>
      <c r="T9" s="3">
        <v>0.56774800000000003</v>
      </c>
      <c r="U9">
        <v>0.86514199999999997</v>
      </c>
      <c r="V9" s="3">
        <v>0.479765</v>
      </c>
      <c r="W9" s="3">
        <v>0.189108</v>
      </c>
      <c r="X9" s="3">
        <v>5.5412000000000003E-2</v>
      </c>
      <c r="Y9" s="3">
        <v>6.5454999999999999E-2</v>
      </c>
      <c r="Z9">
        <v>1.0856269544216099E-2</v>
      </c>
      <c r="AA9" s="3">
        <v>5.7049007454991203E-2</v>
      </c>
      <c r="AB9">
        <v>1.9085191967551901E-2</v>
      </c>
      <c r="AC9" s="3">
        <v>1.3026563169868499E-2</v>
      </c>
      <c r="AD9">
        <v>7.8210635983187796E-3</v>
      </c>
      <c r="AE9" s="4">
        <v>63</v>
      </c>
      <c r="AF9" s="5">
        <v>0</v>
      </c>
      <c r="AG9" s="6" t="s">
        <v>32</v>
      </c>
    </row>
    <row r="10" spans="1:33" x14ac:dyDescent="0.2">
      <c r="A10">
        <f t="shared" si="0"/>
        <v>9</v>
      </c>
      <c r="B10" s="7">
        <v>163.47771739999999</v>
      </c>
      <c r="C10" s="7">
        <v>125.2255334</v>
      </c>
      <c r="D10" s="7">
        <v>362.4175601</v>
      </c>
      <c r="E10" s="7">
        <v>287.52162879999997</v>
      </c>
      <c r="F10" s="7">
        <v>0.171867929</v>
      </c>
      <c r="G10" s="7">
        <v>0.131652518</v>
      </c>
      <c r="H10" s="7">
        <v>0.38101801600000001</v>
      </c>
      <c r="I10" s="7">
        <v>0.30227818000000001</v>
      </c>
      <c r="J10" s="7">
        <v>288.70325100000002</v>
      </c>
      <c r="K10" s="7">
        <v>649.93920000000003</v>
      </c>
      <c r="L10" s="7">
        <v>0.45107599999999998</v>
      </c>
      <c r="M10" s="7">
        <v>1.6960219999999999</v>
      </c>
      <c r="N10" s="7">
        <v>0.25152799999999997</v>
      </c>
      <c r="O10" s="7">
        <v>0.44419999999999998</v>
      </c>
      <c r="P10" s="3">
        <v>0.38960899999999998</v>
      </c>
      <c r="Q10" s="7">
        <v>0.47436600000000001</v>
      </c>
      <c r="R10" s="7">
        <v>0.53408299999999997</v>
      </c>
      <c r="S10" s="7">
        <v>0.55782299999999996</v>
      </c>
      <c r="T10" s="7">
        <v>0.47683199999999998</v>
      </c>
      <c r="U10" s="7">
        <v>4.2499999999999998E-4</v>
      </c>
      <c r="V10">
        <v>0.22789400000000001</v>
      </c>
      <c r="W10" s="7">
        <v>0.141349</v>
      </c>
      <c r="X10" s="7">
        <v>0.273955</v>
      </c>
      <c r="Y10">
        <v>0.26785999999999999</v>
      </c>
      <c r="Z10" s="7">
        <v>7.6312599159330703E-3</v>
      </c>
      <c r="AA10" s="7">
        <v>5.0513077990826299E-2</v>
      </c>
      <c r="AB10">
        <v>1.84392034248562E-2</v>
      </c>
      <c r="AC10" s="7">
        <v>1.26060538415668E-2</v>
      </c>
      <c r="AD10" s="7">
        <v>7.3232677268067004E-3</v>
      </c>
      <c r="AE10" s="4">
        <v>63</v>
      </c>
      <c r="AF10" s="5">
        <v>0</v>
      </c>
      <c r="AG10" s="6" t="s">
        <v>33</v>
      </c>
    </row>
    <row r="11" spans="1:33" x14ac:dyDescent="0.2">
      <c r="A11">
        <f t="shared" si="0"/>
        <v>10</v>
      </c>
      <c r="B11" s="7">
        <v>363.73674349999999</v>
      </c>
      <c r="C11" s="7">
        <v>236.88813469999999</v>
      </c>
      <c r="D11" s="7">
        <v>137.69445329999999</v>
      </c>
      <c r="E11" s="7">
        <v>239.34035109999999</v>
      </c>
      <c r="F11" s="7">
        <v>0.36628820499999998</v>
      </c>
      <c r="G11" s="7">
        <v>0.238549806</v>
      </c>
      <c r="H11" s="7">
        <v>0.138660322</v>
      </c>
      <c r="I11" s="7">
        <v>0.241019224</v>
      </c>
      <c r="J11" s="7">
        <v>600.62487799999997</v>
      </c>
      <c r="K11" s="7">
        <v>377.03480000000002</v>
      </c>
      <c r="L11" s="7">
        <v>2.6416219999999999</v>
      </c>
      <c r="M11" s="7">
        <v>1.565062</v>
      </c>
      <c r="N11" s="7">
        <v>0.96472999999999998</v>
      </c>
      <c r="O11" s="7">
        <v>1.5930219999999999</v>
      </c>
      <c r="P11" s="7">
        <v>0.416958</v>
      </c>
      <c r="Q11" s="7">
        <v>0.47115400000000002</v>
      </c>
      <c r="R11" s="7">
        <v>0.52925599999999995</v>
      </c>
      <c r="S11" s="3">
        <v>0.53530599999999995</v>
      </c>
      <c r="T11" s="7">
        <v>0.472132</v>
      </c>
      <c r="U11" s="7">
        <v>5.5699999999999999E-4</v>
      </c>
      <c r="V11" s="3">
        <v>0.33870299999999998</v>
      </c>
      <c r="W11" s="7">
        <v>0.157943</v>
      </c>
      <c r="X11" s="7">
        <v>0.12151099999999999</v>
      </c>
      <c r="Y11" s="7">
        <v>0.17244999999999999</v>
      </c>
      <c r="Z11" s="7">
        <v>7.2553448961599001E-3</v>
      </c>
      <c r="AA11" s="7">
        <v>5.2586628506988899E-2</v>
      </c>
      <c r="AB11" s="7">
        <v>1.89728712393895E-2</v>
      </c>
      <c r="AC11" s="7">
        <v>1.29023987422647E-2</v>
      </c>
      <c r="AD11">
        <v>7.2330501547084999E-3</v>
      </c>
      <c r="AE11" s="4">
        <v>71</v>
      </c>
      <c r="AF11" s="5">
        <v>0</v>
      </c>
      <c r="AG11" s="6" t="s">
        <v>32</v>
      </c>
    </row>
    <row r="12" spans="1:33" x14ac:dyDescent="0.2">
      <c r="A12">
        <f t="shared" si="0"/>
        <v>11</v>
      </c>
      <c r="B12" s="7">
        <v>207.6699065</v>
      </c>
      <c r="C12" s="7">
        <v>109.4160684</v>
      </c>
      <c r="D12" s="7">
        <v>54.299751260000001</v>
      </c>
      <c r="E12" s="7">
        <v>211.7622164</v>
      </c>
      <c r="F12" s="7">
        <v>0.351860228</v>
      </c>
      <c r="G12" s="7">
        <v>0.18538633400000001</v>
      </c>
      <c r="H12" s="7">
        <v>9.2001402999999995E-2</v>
      </c>
      <c r="I12" s="7">
        <v>0.35879392900000001</v>
      </c>
      <c r="J12" s="7">
        <v>317.08597500000002</v>
      </c>
      <c r="K12" s="7">
        <v>266.06200000000001</v>
      </c>
      <c r="L12" s="7">
        <v>3.8245089999999999</v>
      </c>
      <c r="M12" s="7">
        <v>0.77311200000000002</v>
      </c>
      <c r="N12" s="7">
        <v>0.780532</v>
      </c>
      <c r="O12" s="7">
        <v>1.191775</v>
      </c>
      <c r="P12" s="7">
        <v>0.43115900000000001</v>
      </c>
      <c r="Q12" s="7">
        <v>0.453185</v>
      </c>
      <c r="R12" s="7">
        <v>0.52891699999999997</v>
      </c>
      <c r="S12" s="7">
        <v>0.52467399999999997</v>
      </c>
      <c r="T12" s="7">
        <v>0.48467300000000002</v>
      </c>
      <c r="U12">
        <v>3.86E-4</v>
      </c>
      <c r="V12" s="3">
        <v>0.340561</v>
      </c>
      <c r="W12" s="7">
        <v>0.15395500000000001</v>
      </c>
      <c r="X12">
        <v>8.2178000000000001E-2</v>
      </c>
      <c r="Y12">
        <v>0.19450100000000001</v>
      </c>
      <c r="Z12">
        <v>7.4098655765551004E-3</v>
      </c>
      <c r="AA12" s="7">
        <v>5.10321328928846E-2</v>
      </c>
      <c r="AB12">
        <v>1.9131022797075601E-2</v>
      </c>
      <c r="AC12">
        <v>1.24425625497449E-2</v>
      </c>
      <c r="AD12">
        <v>7.2367286675388796E-3</v>
      </c>
      <c r="AE12" s="4">
        <v>67</v>
      </c>
      <c r="AF12" s="5">
        <v>1</v>
      </c>
      <c r="AG12" s="6" t="s">
        <v>32</v>
      </c>
    </row>
    <row r="13" spans="1:33" x14ac:dyDescent="0.2">
      <c r="A13">
        <f t="shared" si="0"/>
        <v>12</v>
      </c>
      <c r="B13" s="7">
        <v>137.35153489999999</v>
      </c>
      <c r="C13" s="7">
        <v>60.12680503</v>
      </c>
      <c r="D13" s="7">
        <v>113.4302459</v>
      </c>
      <c r="E13" s="7">
        <v>207.7141427</v>
      </c>
      <c r="F13" s="7">
        <v>0.26117233200000001</v>
      </c>
      <c r="G13" s="7">
        <v>0.11433041400000001</v>
      </c>
      <c r="H13" s="7">
        <v>0.21568628200000001</v>
      </c>
      <c r="I13" s="7">
        <v>0.39496600599999998</v>
      </c>
      <c r="J13" s="7">
        <v>197.47834</v>
      </c>
      <c r="K13" s="7">
        <v>321.14440000000002</v>
      </c>
      <c r="L13" s="7">
        <v>1.21089</v>
      </c>
      <c r="M13" s="7">
        <v>0.83555699999999999</v>
      </c>
      <c r="N13" s="7">
        <v>0.42769400000000002</v>
      </c>
      <c r="O13" s="7">
        <v>0.61492100000000005</v>
      </c>
      <c r="P13" s="3">
        <v>0.38165900000000003</v>
      </c>
      <c r="Q13" s="7">
        <v>0.45066800000000001</v>
      </c>
      <c r="R13" s="7">
        <v>0.51663099999999995</v>
      </c>
      <c r="S13" s="7">
        <v>0.53095300000000001</v>
      </c>
      <c r="T13" s="7">
        <v>0.46710200000000002</v>
      </c>
      <c r="U13">
        <v>2.9799999999999998E-4</v>
      </c>
      <c r="V13" s="3">
        <v>0.31940200000000002</v>
      </c>
      <c r="W13">
        <v>0.10108</v>
      </c>
      <c r="X13">
        <v>0.14951</v>
      </c>
      <c r="Y13">
        <v>0.283717</v>
      </c>
      <c r="Z13">
        <v>7.1656563286694296E-3</v>
      </c>
      <c r="AA13">
        <v>5.1076318489464201E-2</v>
      </c>
      <c r="AB13">
        <v>1.8805042029150398E-2</v>
      </c>
      <c r="AC13">
        <v>1.2940411031094201E-2</v>
      </c>
      <c r="AD13">
        <v>7.3288972756889101E-3</v>
      </c>
      <c r="AE13" s="4">
        <v>55</v>
      </c>
      <c r="AF13" s="5">
        <v>1</v>
      </c>
      <c r="AG13" s="6" t="s">
        <v>32</v>
      </c>
    </row>
    <row r="14" spans="1:33" x14ac:dyDescent="0.2">
      <c r="A14">
        <f t="shared" si="0"/>
        <v>13</v>
      </c>
      <c r="B14" s="7">
        <v>205.16705780000001</v>
      </c>
      <c r="C14" s="7">
        <v>295.95197000000002</v>
      </c>
      <c r="D14" s="7">
        <v>766.88511240000003</v>
      </c>
      <c r="E14" s="7">
        <v>353.35746119999999</v>
      </c>
      <c r="F14" s="7">
        <v>0.123248447</v>
      </c>
      <c r="G14" s="7">
        <v>0.17778497700000001</v>
      </c>
      <c r="H14" s="7">
        <v>0.46068506199999998</v>
      </c>
      <c r="I14" s="7">
        <v>0.21226974100000001</v>
      </c>
      <c r="J14" s="7">
        <v>501.11902800000001</v>
      </c>
      <c r="K14" s="7">
        <v>1120.2429999999999</v>
      </c>
      <c r="L14" s="7">
        <v>0.26753300000000002</v>
      </c>
      <c r="M14" s="7">
        <v>3.0078239999999998</v>
      </c>
      <c r="N14" s="7">
        <v>0.183145</v>
      </c>
      <c r="O14" s="7">
        <v>0.44733099999999998</v>
      </c>
      <c r="P14" s="7">
        <v>0.37809100000000001</v>
      </c>
      <c r="Q14" s="7">
        <v>0.46139799999999997</v>
      </c>
      <c r="R14" s="7">
        <v>0.51061199999999995</v>
      </c>
      <c r="S14" s="3">
        <v>0.55678499999999997</v>
      </c>
      <c r="T14" s="7">
        <v>0.46457399999999999</v>
      </c>
      <c r="U14">
        <v>7.9699999999999997E-4</v>
      </c>
      <c r="V14">
        <v>0.19595599999999999</v>
      </c>
      <c r="W14" s="7">
        <v>0.12639700000000001</v>
      </c>
      <c r="X14">
        <v>0.325963</v>
      </c>
      <c r="Y14">
        <v>0.25136199999999997</v>
      </c>
      <c r="Z14">
        <v>7.7631646926602897E-3</v>
      </c>
      <c r="AA14">
        <v>5.1661738462686901E-2</v>
      </c>
      <c r="AB14">
        <v>1.7643038815148698E-2</v>
      </c>
      <c r="AC14">
        <v>1.26428512435472E-2</v>
      </c>
      <c r="AD14">
        <v>7.42507893124818E-3</v>
      </c>
      <c r="AE14" s="4">
        <v>74</v>
      </c>
      <c r="AF14" s="5">
        <v>0</v>
      </c>
      <c r="AG14" s="6" t="s">
        <v>32</v>
      </c>
    </row>
    <row r="15" spans="1:33" x14ac:dyDescent="0.2">
      <c r="A15">
        <f t="shared" si="0"/>
        <v>14</v>
      </c>
      <c r="B15" s="7">
        <v>116.3632569</v>
      </c>
      <c r="C15" s="7">
        <v>58.121267520000004</v>
      </c>
      <c r="D15" s="7">
        <v>21.51391301</v>
      </c>
      <c r="E15" s="7">
        <v>156.84129569999999</v>
      </c>
      <c r="F15" s="7">
        <v>0.32487065500000001</v>
      </c>
      <c r="G15" s="7">
        <v>0.16226680800000001</v>
      </c>
      <c r="H15" s="7">
        <v>6.0063969000000002E-2</v>
      </c>
      <c r="I15" s="7">
        <v>0.437879927</v>
      </c>
      <c r="J15" s="7">
        <v>174.48452399999999</v>
      </c>
      <c r="K15" s="7">
        <v>178.3552</v>
      </c>
      <c r="L15" s="7">
        <v>5.4087440000000004</v>
      </c>
      <c r="M15" s="7">
        <v>0.50774399999999997</v>
      </c>
      <c r="N15" s="7">
        <v>0.652424</v>
      </c>
      <c r="O15" s="7">
        <v>0.978298</v>
      </c>
      <c r="P15" s="3">
        <v>0.41861599999999999</v>
      </c>
      <c r="Q15" s="7">
        <v>0.468665</v>
      </c>
      <c r="R15" s="7">
        <v>0.56175299999999995</v>
      </c>
      <c r="S15" s="7">
        <v>0.53435299999999997</v>
      </c>
      <c r="T15" s="3">
        <v>0.488815</v>
      </c>
      <c r="U15">
        <v>5.3799999999999996E-4</v>
      </c>
      <c r="V15" s="3">
        <v>0.256108</v>
      </c>
      <c r="W15" s="7">
        <v>9.5381999999999995E-2</v>
      </c>
      <c r="X15">
        <v>2.9814E-2</v>
      </c>
      <c r="Y15">
        <v>0.13865</v>
      </c>
      <c r="Z15">
        <v>6.5823721489635199E-3</v>
      </c>
      <c r="AA15" s="7">
        <v>4.58726915259021E-2</v>
      </c>
      <c r="AB15">
        <v>1.9888031611757898E-2</v>
      </c>
      <c r="AC15">
        <v>1.2702706003414801E-2</v>
      </c>
      <c r="AD15">
        <v>6.9726974429519502E-3</v>
      </c>
      <c r="AE15" s="4">
        <v>49</v>
      </c>
      <c r="AF15" s="5">
        <v>1</v>
      </c>
      <c r="AG15" s="6" t="s">
        <v>32</v>
      </c>
    </row>
    <row r="16" spans="1:33" x14ac:dyDescent="0.2">
      <c r="A16">
        <f t="shared" si="0"/>
        <v>15</v>
      </c>
      <c r="B16" s="7">
        <v>206.80567679999999</v>
      </c>
      <c r="C16" s="7">
        <v>207.95099970000001</v>
      </c>
      <c r="D16" s="7">
        <v>99.350558250000006</v>
      </c>
      <c r="E16" s="7">
        <v>208.1278969</v>
      </c>
      <c r="F16" s="7">
        <v>0.27750404400000001</v>
      </c>
      <c r="G16" s="7">
        <v>0.27904090599999998</v>
      </c>
      <c r="H16" s="7">
        <v>0.13331443400000001</v>
      </c>
      <c r="I16" s="7">
        <v>0.27927827700000002</v>
      </c>
      <c r="J16" s="7">
        <v>414.75667700000002</v>
      </c>
      <c r="K16" s="7">
        <v>307.4785</v>
      </c>
      <c r="L16" s="7">
        <v>2.081575</v>
      </c>
      <c r="M16" s="7">
        <v>1.4765029999999999</v>
      </c>
      <c r="N16" s="7">
        <v>0.67258600000000002</v>
      </c>
      <c r="O16" s="7">
        <v>1.348897</v>
      </c>
      <c r="P16" s="7">
        <v>0.42841099999999999</v>
      </c>
      <c r="Q16" s="7">
        <v>0.47377599999999997</v>
      </c>
      <c r="R16" s="7">
        <v>0.53899399999999997</v>
      </c>
      <c r="S16" s="7">
        <v>0.55196800000000001</v>
      </c>
      <c r="T16" s="3">
        <v>0.48293599999999998</v>
      </c>
      <c r="U16" s="7">
        <v>4.9799999999999996E-4</v>
      </c>
      <c r="V16" s="3">
        <v>0.31331300000000001</v>
      </c>
      <c r="W16" s="7">
        <v>0.19561000000000001</v>
      </c>
      <c r="X16" s="3">
        <v>0.17396700000000001</v>
      </c>
      <c r="Y16">
        <v>0.15434600000000001</v>
      </c>
      <c r="Z16">
        <v>7.2100630889356497E-3</v>
      </c>
      <c r="AA16" s="7">
        <v>5.30805057789571E-2</v>
      </c>
      <c r="AB16">
        <v>1.8007636790004E-2</v>
      </c>
      <c r="AC16">
        <v>1.2799026062727099E-2</v>
      </c>
      <c r="AD16">
        <v>6.9210873304894702E-3</v>
      </c>
      <c r="AE16" s="4">
        <v>66</v>
      </c>
      <c r="AF16" s="5">
        <v>1</v>
      </c>
      <c r="AG16" s="6" t="s">
        <v>33</v>
      </c>
    </row>
    <row r="17" spans="1:33" x14ac:dyDescent="0.2">
      <c r="A17">
        <f t="shared" si="0"/>
        <v>16</v>
      </c>
      <c r="B17" s="7">
        <v>132.52625259999999</v>
      </c>
      <c r="C17" s="7">
        <v>285.61561289999997</v>
      </c>
      <c r="D17" s="7">
        <v>876.72279570000001</v>
      </c>
      <c r="E17" s="7">
        <v>201.62771230000001</v>
      </c>
      <c r="F17" s="7">
        <v>8.6632509999999996E-2</v>
      </c>
      <c r="G17" s="7">
        <v>0.18670713899999999</v>
      </c>
      <c r="H17" s="7">
        <v>0.573114346</v>
      </c>
      <c r="I17" s="7">
        <v>0.13180418599999999</v>
      </c>
      <c r="J17" s="7">
        <v>418.141865</v>
      </c>
      <c r="K17" s="7">
        <v>1078.3510000000001</v>
      </c>
      <c r="L17" s="7">
        <v>0.15116099999999999</v>
      </c>
      <c r="M17" s="7">
        <v>5.7647750000000002</v>
      </c>
      <c r="N17" s="7">
        <v>0.12289700000000001</v>
      </c>
      <c r="O17" s="7">
        <v>0.38776100000000002</v>
      </c>
      <c r="P17" s="7">
        <v>0.40248800000000001</v>
      </c>
      <c r="Q17" s="7">
        <v>0.47421400000000002</v>
      </c>
      <c r="R17" s="7">
        <v>0.49839800000000001</v>
      </c>
      <c r="S17" s="7">
        <v>0.54622300000000001</v>
      </c>
      <c r="T17" s="7">
        <v>0.45658900000000002</v>
      </c>
      <c r="U17">
        <v>3.9399999999999998E-4</v>
      </c>
      <c r="V17" s="3">
        <v>0.13503899999999999</v>
      </c>
      <c r="W17" s="7">
        <v>0.20302100000000001</v>
      </c>
      <c r="X17" s="7">
        <v>0.47130499999999997</v>
      </c>
      <c r="Y17" s="7">
        <v>0.16844500000000001</v>
      </c>
      <c r="Z17" s="7">
        <v>1.02853852199274E-2</v>
      </c>
      <c r="AA17" s="7">
        <v>4.7577834858861703E-2</v>
      </c>
      <c r="AB17" s="7">
        <v>1.8288456298150998E-2</v>
      </c>
      <c r="AC17">
        <v>1.32528033312277E-2</v>
      </c>
      <c r="AD17" s="7">
        <v>8.48448521991302E-3</v>
      </c>
      <c r="AE17" s="4">
        <v>62</v>
      </c>
      <c r="AF17" s="5">
        <v>0</v>
      </c>
      <c r="AG17" s="6" t="s">
        <v>33</v>
      </c>
    </row>
    <row r="18" spans="1:33" x14ac:dyDescent="0.2">
      <c r="A18">
        <f t="shared" si="0"/>
        <v>17</v>
      </c>
      <c r="B18" s="7">
        <v>130.84396090000001</v>
      </c>
      <c r="C18" s="7">
        <v>105.78334719999999</v>
      </c>
      <c r="D18" s="7">
        <v>30.286457930000001</v>
      </c>
      <c r="E18" s="7">
        <v>113.83982330000001</v>
      </c>
      <c r="F18" s="7">
        <v>0.33664880899999999</v>
      </c>
      <c r="G18" s="7">
        <v>0.27217028300000001</v>
      </c>
      <c r="H18" s="7">
        <v>7.7924116000000002E-2</v>
      </c>
      <c r="I18" s="7">
        <v>0.29289881400000001</v>
      </c>
      <c r="J18" s="7">
        <v>236.627308</v>
      </c>
      <c r="K18" s="7">
        <v>144.12629999999999</v>
      </c>
      <c r="L18" s="7">
        <v>4.3202129999999999</v>
      </c>
      <c r="M18" s="7">
        <v>1.1952739999999999</v>
      </c>
      <c r="N18" s="7">
        <v>0.90784200000000004</v>
      </c>
      <c r="O18" s="7">
        <v>1.641805</v>
      </c>
      <c r="P18" s="7">
        <v>0.42277199999999998</v>
      </c>
      <c r="Q18" s="7">
        <v>0.50751299999999999</v>
      </c>
      <c r="R18" s="7">
        <v>0.58679199999999998</v>
      </c>
      <c r="S18" s="7">
        <v>0.56947599999999998</v>
      </c>
      <c r="T18" s="7">
        <v>0.49954500000000002</v>
      </c>
      <c r="U18">
        <v>2.14E-4</v>
      </c>
      <c r="V18">
        <v>0.31570199999999998</v>
      </c>
      <c r="W18" s="7">
        <v>0.233628</v>
      </c>
      <c r="X18" s="7">
        <v>7.6166999999999999E-2</v>
      </c>
      <c r="Y18" s="7">
        <v>0.19731699999999999</v>
      </c>
      <c r="Z18">
        <v>7.2668627471472501E-3</v>
      </c>
      <c r="AA18" s="8">
        <v>4.6249745758327999E-2</v>
      </c>
      <c r="AB18" s="8">
        <v>1.9522807780462E-2</v>
      </c>
      <c r="AC18" s="8">
        <v>1.2455843797198701E-2</v>
      </c>
      <c r="AD18" s="8">
        <v>6.8927471950351402E-3</v>
      </c>
      <c r="AE18" s="4">
        <v>58</v>
      </c>
      <c r="AF18" s="5">
        <v>1</v>
      </c>
      <c r="AG18" s="6" t="s">
        <v>32</v>
      </c>
    </row>
    <row r="19" spans="1:33" x14ac:dyDescent="0.2">
      <c r="A19">
        <f t="shared" si="0"/>
        <v>18</v>
      </c>
      <c r="B19" s="7">
        <v>185.37450620000001</v>
      </c>
      <c r="C19" s="7">
        <v>95.347264449999997</v>
      </c>
      <c r="D19" s="7">
        <v>73.121309830000001</v>
      </c>
      <c r="E19" s="7">
        <v>71.321118279999993</v>
      </c>
      <c r="F19" s="7">
        <v>0.42795984300000001</v>
      </c>
      <c r="G19" s="7">
        <v>0.22012088499999999</v>
      </c>
      <c r="H19" s="7">
        <v>0.16880953500000001</v>
      </c>
      <c r="I19" s="7">
        <v>0.164653572</v>
      </c>
      <c r="J19" s="7">
        <v>280.72177099999999</v>
      </c>
      <c r="K19" s="7">
        <v>144.44239999999999</v>
      </c>
      <c r="L19" s="7">
        <v>2.535164</v>
      </c>
      <c r="M19" s="7">
        <v>2.3621129999999999</v>
      </c>
      <c r="N19" s="7">
        <v>1.28338</v>
      </c>
      <c r="O19" s="7">
        <v>1.943486</v>
      </c>
      <c r="P19" s="3">
        <v>0.39221200000000001</v>
      </c>
      <c r="Q19" s="3">
        <v>0.519428</v>
      </c>
      <c r="R19" s="7">
        <v>0.53505899999999995</v>
      </c>
      <c r="S19" s="7">
        <v>0.52573000000000003</v>
      </c>
      <c r="T19" s="7">
        <v>0.46177000000000001</v>
      </c>
      <c r="U19" s="7">
        <v>1.5200000000000001E-4</v>
      </c>
      <c r="V19" s="3">
        <v>0.54056700000000002</v>
      </c>
      <c r="W19" s="7">
        <v>0.16331100000000001</v>
      </c>
      <c r="X19" s="7">
        <v>0.11809600000000001</v>
      </c>
      <c r="Y19">
        <v>0.14099</v>
      </c>
      <c r="Z19">
        <v>1.08906903247026E-2</v>
      </c>
      <c r="AA19" s="8">
        <v>5.05460307695796E-2</v>
      </c>
      <c r="AB19" s="8">
        <v>1.9373723076873201E-2</v>
      </c>
      <c r="AC19" s="8">
        <v>1.33144638835258E-2</v>
      </c>
      <c r="AD19" s="8">
        <v>8.1076823590863403E-3</v>
      </c>
      <c r="AE19" s="4">
        <v>77</v>
      </c>
      <c r="AF19" s="5">
        <v>1</v>
      </c>
      <c r="AG19" s="6" t="s">
        <v>32</v>
      </c>
    </row>
    <row r="20" spans="1:33" x14ac:dyDescent="0.2">
      <c r="A20">
        <f t="shared" si="0"/>
        <v>19</v>
      </c>
      <c r="B20" s="7">
        <v>298.3725857</v>
      </c>
      <c r="C20" s="7">
        <v>75.796262650000003</v>
      </c>
      <c r="D20" s="7">
        <v>27.481011779999999</v>
      </c>
      <c r="E20" s="7">
        <v>97.467699210000006</v>
      </c>
      <c r="F20" s="7">
        <v>0.59235834499999995</v>
      </c>
      <c r="G20" s="7">
        <v>0.15047812999999999</v>
      </c>
      <c r="H20" s="7">
        <v>5.4557983999999997E-2</v>
      </c>
      <c r="I20" s="7">
        <v>0.193502379</v>
      </c>
      <c r="J20" s="7">
        <v>374.16884800000003</v>
      </c>
      <c r="K20" s="7">
        <v>124.9487</v>
      </c>
      <c r="L20" s="7">
        <v>10.85741</v>
      </c>
      <c r="M20" s="7">
        <v>1.0596049999999999</v>
      </c>
      <c r="N20" s="7">
        <v>2.3879600000000001</v>
      </c>
      <c r="O20" s="7">
        <v>2.9945789999999999</v>
      </c>
      <c r="P20" s="7">
        <v>0.45329199999999997</v>
      </c>
      <c r="Q20" s="7">
        <v>0.52773400000000004</v>
      </c>
      <c r="R20" s="7">
        <v>0.54597499999999999</v>
      </c>
      <c r="S20" s="7">
        <v>0.53360700000000005</v>
      </c>
      <c r="T20" s="7">
        <v>0.48936099999999999</v>
      </c>
      <c r="U20">
        <v>1.55E-4</v>
      </c>
      <c r="V20" s="3">
        <v>0.62802199999999997</v>
      </c>
      <c r="W20">
        <v>0.135042</v>
      </c>
      <c r="X20" s="7">
        <v>5.3281000000000002E-2</v>
      </c>
      <c r="Y20">
        <v>0.13075999999999999</v>
      </c>
      <c r="Z20">
        <v>1.17638466554015E-2</v>
      </c>
      <c r="AA20" s="8">
        <v>5.4364853815867198E-2</v>
      </c>
      <c r="AB20" s="8">
        <v>1.97424064108195E-2</v>
      </c>
      <c r="AC20" s="8">
        <v>1.3341342844675299E-2</v>
      </c>
      <c r="AD20" s="8">
        <v>8.0561819938864201E-3</v>
      </c>
      <c r="AE20" s="4">
        <v>55</v>
      </c>
      <c r="AF20" s="5">
        <v>1</v>
      </c>
      <c r="AG20" s="6" t="s">
        <v>32</v>
      </c>
    </row>
    <row r="21" spans="1:33" x14ac:dyDescent="0.2">
      <c r="A21">
        <f t="shared" si="0"/>
        <v>20</v>
      </c>
      <c r="B21" s="7">
        <v>121.671604</v>
      </c>
      <c r="C21" s="7">
        <v>43.719452529999998</v>
      </c>
      <c r="D21" s="7">
        <v>17.84938464</v>
      </c>
      <c r="E21" s="7">
        <v>44.323923749999999</v>
      </c>
      <c r="F21" s="7">
        <v>0.52588599499999999</v>
      </c>
      <c r="G21" s="7">
        <v>0.188963136</v>
      </c>
      <c r="H21" s="7">
        <v>7.7148168000000003E-2</v>
      </c>
      <c r="I21" s="7">
        <v>0.19157576600000001</v>
      </c>
      <c r="J21" s="7">
        <v>165.39105599999999</v>
      </c>
      <c r="K21" s="7">
        <v>62.173310000000001</v>
      </c>
      <c r="L21" s="7">
        <v>6.8165709999999997</v>
      </c>
      <c r="M21" s="7">
        <v>1.3890659999999999</v>
      </c>
      <c r="N21" s="7">
        <v>1.9569749999999999</v>
      </c>
      <c r="O21" s="7">
        <v>2.6601620000000001</v>
      </c>
      <c r="P21" s="7">
        <v>0.43814999999999998</v>
      </c>
      <c r="Q21" s="7">
        <v>0.52353899999999998</v>
      </c>
      <c r="R21" s="7">
        <v>0.56486099999999995</v>
      </c>
      <c r="S21" s="7">
        <v>0.55948399999999998</v>
      </c>
      <c r="T21" s="3">
        <v>0.49915199999999998</v>
      </c>
      <c r="U21" s="7">
        <v>1.3100000000000001E-4</v>
      </c>
      <c r="V21">
        <v>0.495423</v>
      </c>
      <c r="W21" s="7">
        <v>0.14232600000000001</v>
      </c>
      <c r="X21" s="7">
        <v>6.5594E-2</v>
      </c>
      <c r="Y21">
        <v>0.137017</v>
      </c>
      <c r="Z21">
        <v>7.7176259414702001E-3</v>
      </c>
      <c r="AA21" s="8">
        <v>4.92562417203527E-2</v>
      </c>
      <c r="AB21" s="8">
        <v>1.9398608215822798E-2</v>
      </c>
      <c r="AC21" s="8">
        <v>1.22694132925244E-2</v>
      </c>
      <c r="AD21">
        <v>7.1466445052738798E-3</v>
      </c>
      <c r="AE21" s="4">
        <v>60</v>
      </c>
      <c r="AF21" s="5">
        <v>1</v>
      </c>
      <c r="AG21" s="6" t="s">
        <v>32</v>
      </c>
    </row>
    <row r="22" spans="1:33" x14ac:dyDescent="0.2">
      <c r="A22">
        <f t="shared" si="0"/>
        <v>21</v>
      </c>
      <c r="B22" s="7">
        <v>620.43631559999994</v>
      </c>
      <c r="C22" s="7">
        <v>151.4939694</v>
      </c>
      <c r="D22" s="7">
        <v>252.79189629999999</v>
      </c>
      <c r="E22" s="7">
        <v>249.7689268</v>
      </c>
      <c r="F22" s="7">
        <v>0.47901007600000001</v>
      </c>
      <c r="G22" s="7">
        <v>0.116961461</v>
      </c>
      <c r="H22" s="7">
        <v>0.19516888700000001</v>
      </c>
      <c r="I22" s="7">
        <v>0.19283499300000001</v>
      </c>
      <c r="J22" s="7">
        <v>771.93028500000003</v>
      </c>
      <c r="K22" s="7">
        <v>502.56079999999997</v>
      </c>
      <c r="L22" s="7">
        <v>2.4543360000000001</v>
      </c>
      <c r="M22" s="7">
        <v>1.6186400000000001</v>
      </c>
      <c r="N22" s="7">
        <v>1.23455</v>
      </c>
      <c r="O22" s="7">
        <v>1.5359940000000001</v>
      </c>
      <c r="P22" s="7">
        <v>0.39898400000000001</v>
      </c>
      <c r="Q22" s="7">
        <v>0.48472199999999999</v>
      </c>
      <c r="R22" s="7">
        <v>0.52962900000000002</v>
      </c>
      <c r="S22" s="7">
        <v>0.56538100000000002</v>
      </c>
      <c r="T22" s="3">
        <v>0.48202600000000001</v>
      </c>
      <c r="U22">
        <v>1.266E-3</v>
      </c>
      <c r="V22" s="3">
        <v>0.32946599999999998</v>
      </c>
      <c r="W22">
        <v>7.0153999999999994E-2</v>
      </c>
      <c r="X22" s="7">
        <v>0.10115499999999999</v>
      </c>
      <c r="Y22">
        <v>0.11135</v>
      </c>
      <c r="Z22">
        <v>7.2217102506831098E-3</v>
      </c>
      <c r="AA22" s="8">
        <v>5.4909198396043503E-2</v>
      </c>
      <c r="AB22" s="8">
        <v>1.8431533080776399E-2</v>
      </c>
      <c r="AC22" s="8">
        <v>1.23665974340965E-2</v>
      </c>
      <c r="AD22" s="8">
        <v>7.3272653191095499E-3</v>
      </c>
      <c r="AE22" s="4">
        <v>72</v>
      </c>
      <c r="AF22" s="5">
        <v>0</v>
      </c>
      <c r="AG22" s="6" t="s">
        <v>32</v>
      </c>
    </row>
    <row r="23" spans="1:33" x14ac:dyDescent="0.2">
      <c r="A23">
        <f t="shared" si="0"/>
        <v>22</v>
      </c>
      <c r="B23" s="7">
        <v>310.11522400000001</v>
      </c>
      <c r="C23" s="7">
        <v>89.464437840000002</v>
      </c>
      <c r="D23" s="7">
        <v>158.9037409</v>
      </c>
      <c r="E23" s="7">
        <v>134.44381440000001</v>
      </c>
      <c r="F23" s="7">
        <v>0.44236430700000001</v>
      </c>
      <c r="G23" s="7">
        <v>0.12761667600000001</v>
      </c>
      <c r="H23" s="7">
        <v>0.22666846900000001</v>
      </c>
      <c r="I23" s="7">
        <v>0.19177757200000001</v>
      </c>
      <c r="J23" s="7">
        <v>399.57966199999998</v>
      </c>
      <c r="K23" s="7">
        <v>293.3476</v>
      </c>
      <c r="L23" s="7">
        <v>1.951592</v>
      </c>
      <c r="M23" s="7">
        <v>1.847375</v>
      </c>
      <c r="N23" s="7">
        <v>1.0571600000000001</v>
      </c>
      <c r="O23" s="7">
        <v>1.3621369999999999</v>
      </c>
      <c r="P23" s="3">
        <v>0.39156800000000003</v>
      </c>
      <c r="Q23" s="7">
        <v>0.50733499999999998</v>
      </c>
      <c r="R23" s="7">
        <v>0.53378700000000001</v>
      </c>
      <c r="S23" s="7">
        <v>0.52927299999999999</v>
      </c>
      <c r="T23" s="7">
        <v>0.46980499999999997</v>
      </c>
      <c r="U23">
        <v>3.9199999999999999E-4</v>
      </c>
      <c r="V23">
        <v>0.47998800000000003</v>
      </c>
      <c r="W23" s="7">
        <v>0.106379</v>
      </c>
      <c r="X23">
        <v>0.14377799999999999</v>
      </c>
      <c r="Y23">
        <v>0.195964</v>
      </c>
      <c r="Z23">
        <v>8.9057042708125707E-3</v>
      </c>
      <c r="AA23" s="8">
        <v>4.9357461765905802E-2</v>
      </c>
      <c r="AB23" s="8">
        <v>1.9299595052545301E-2</v>
      </c>
      <c r="AC23">
        <v>1.2942165912473101E-2</v>
      </c>
      <c r="AD23" s="8">
        <v>7.7478954422105896E-3</v>
      </c>
      <c r="AE23" s="4">
        <v>66</v>
      </c>
      <c r="AF23" s="5">
        <v>0</v>
      </c>
      <c r="AG23" s="6" t="s">
        <v>33</v>
      </c>
    </row>
    <row r="24" spans="1:33" x14ac:dyDescent="0.2">
      <c r="A24">
        <f t="shared" si="0"/>
        <v>23</v>
      </c>
      <c r="B24" s="7">
        <v>248.2707968</v>
      </c>
      <c r="C24" s="7">
        <v>146.01415679999999</v>
      </c>
      <c r="D24" s="7">
        <v>102.2624794</v>
      </c>
      <c r="E24" s="7">
        <v>110.22408129999999</v>
      </c>
      <c r="F24" s="7">
        <v>0.40042043500000002</v>
      </c>
      <c r="G24" s="7">
        <v>0.23549709799999999</v>
      </c>
      <c r="H24" s="7">
        <v>0.16493275499999999</v>
      </c>
      <c r="I24" s="7">
        <v>0.17777352399999999</v>
      </c>
      <c r="J24" s="7">
        <v>394.28495400000003</v>
      </c>
      <c r="K24" s="7">
        <v>212.48660000000001</v>
      </c>
      <c r="L24" s="7">
        <v>2.4277799999999998</v>
      </c>
      <c r="M24" s="7">
        <v>2.252472</v>
      </c>
      <c r="N24" s="7">
        <v>1.168407</v>
      </c>
      <c r="O24" s="7">
        <v>1.8555759999999999</v>
      </c>
      <c r="P24" s="7">
        <v>0.39328000000000002</v>
      </c>
      <c r="Q24" s="7">
        <v>0.50809099999999996</v>
      </c>
      <c r="R24" s="7">
        <v>0.53519600000000001</v>
      </c>
      <c r="S24" s="7">
        <v>0.54640699999999998</v>
      </c>
      <c r="T24" s="3">
        <v>0.48071999999999998</v>
      </c>
      <c r="U24">
        <v>3.6900000000000002E-4</v>
      </c>
      <c r="V24" s="3">
        <v>0.45552300000000001</v>
      </c>
      <c r="W24">
        <v>0.157724</v>
      </c>
      <c r="X24" s="7">
        <v>0.16427</v>
      </c>
      <c r="Y24">
        <v>0.157855</v>
      </c>
      <c r="Z24">
        <v>8.7609881196070698E-3</v>
      </c>
      <c r="AA24" s="8">
        <v>5.3380649001952302E-2</v>
      </c>
      <c r="AB24" s="8">
        <v>1.8126159245809299E-2</v>
      </c>
      <c r="AC24" s="8">
        <v>1.26352102364846E-2</v>
      </c>
      <c r="AD24" s="8">
        <v>7.6366750436656604E-3</v>
      </c>
      <c r="AE24" s="4">
        <v>74</v>
      </c>
      <c r="AF24" s="5">
        <v>0</v>
      </c>
      <c r="AG24" s="6" t="s">
        <v>33</v>
      </c>
    </row>
    <row r="25" spans="1:33" x14ac:dyDescent="0.2">
      <c r="A25">
        <f t="shared" si="0"/>
        <v>24</v>
      </c>
      <c r="B25" s="2">
        <v>19746.278180000001</v>
      </c>
      <c r="C25" s="2">
        <v>16018.79343</v>
      </c>
      <c r="D25" s="2">
        <v>7081.8587209999996</v>
      </c>
      <c r="E25" s="2">
        <v>6032.2381999999998</v>
      </c>
      <c r="F25" s="2">
        <v>0.396137972</v>
      </c>
      <c r="G25" s="2">
        <v>0.32135941200000001</v>
      </c>
      <c r="H25" s="2">
        <v>0.14207199600000001</v>
      </c>
      <c r="I25" s="2">
        <v>0.12101513999999999</v>
      </c>
      <c r="J25" s="2">
        <v>35765.071609999999</v>
      </c>
      <c r="K25" s="2">
        <v>13114.09692</v>
      </c>
      <c r="L25" s="2">
        <v>2.788290328</v>
      </c>
      <c r="M25" s="2">
        <v>3.8295324869999998</v>
      </c>
      <c r="N25" s="2">
        <v>1.505729163</v>
      </c>
      <c r="O25" s="2">
        <v>2.727223371</v>
      </c>
      <c r="P25" s="7">
        <v>0.67611500000000002</v>
      </c>
      <c r="Q25" s="7">
        <v>0.65966199999999997</v>
      </c>
      <c r="R25" s="7">
        <v>0.65905100000000005</v>
      </c>
      <c r="S25" s="7">
        <v>0.631131</v>
      </c>
      <c r="T25" s="7">
        <v>0.57687699999999997</v>
      </c>
      <c r="U25">
        <v>0.22226599999999999</v>
      </c>
      <c r="V25" s="7">
        <v>0.38069999999999998</v>
      </c>
      <c r="W25">
        <v>0.30286600000000002</v>
      </c>
      <c r="X25">
        <v>0.117615</v>
      </c>
      <c r="Y25">
        <v>0.144094</v>
      </c>
      <c r="Z25">
        <v>9.5274739282488093E-3</v>
      </c>
      <c r="AA25" s="8">
        <v>5.60325485756724E-2</v>
      </c>
      <c r="AB25">
        <v>2.0778731564698401E-2</v>
      </c>
      <c r="AC25" s="8">
        <v>1.37385339113761E-2</v>
      </c>
      <c r="AD25" s="8">
        <v>8.7856357090434992E-3</v>
      </c>
      <c r="AE25" s="4">
        <v>61</v>
      </c>
      <c r="AF25" s="5">
        <v>1</v>
      </c>
      <c r="AG25" s="6" t="s">
        <v>32</v>
      </c>
    </row>
    <row r="26" spans="1:33" x14ac:dyDescent="0.2">
      <c r="A26">
        <f t="shared" si="0"/>
        <v>25</v>
      </c>
      <c r="B26" s="2">
        <v>6009.8945350000004</v>
      </c>
      <c r="C26" s="2">
        <v>3158.122695</v>
      </c>
      <c r="D26" s="2">
        <v>1830.5111649999999</v>
      </c>
      <c r="E26" s="2">
        <v>4987.0881310000004</v>
      </c>
      <c r="F26" s="2">
        <v>0.37031497800000002</v>
      </c>
      <c r="G26" s="2">
        <v>0.19459578399999999</v>
      </c>
      <c r="H26" s="2">
        <v>0.112791614</v>
      </c>
      <c r="I26" s="2">
        <v>0.30729215300000001</v>
      </c>
      <c r="J26" s="2">
        <v>9168.0172309999998</v>
      </c>
      <c r="K26" s="2">
        <v>6817.5992960000003</v>
      </c>
      <c r="L26" s="2">
        <v>3.2831782989999998</v>
      </c>
      <c r="M26" s="2">
        <v>1.000309946</v>
      </c>
      <c r="N26" s="2">
        <v>0.88152651299999996</v>
      </c>
      <c r="O26" s="2">
        <v>1.344757419</v>
      </c>
      <c r="P26" s="7">
        <v>0.61443800000000004</v>
      </c>
      <c r="Q26" s="7">
        <v>0.63198500000000002</v>
      </c>
      <c r="R26" s="7">
        <v>0.66180799999999995</v>
      </c>
      <c r="S26" s="7">
        <v>0.65518900000000002</v>
      </c>
      <c r="T26" s="7">
        <v>0.61908399999999997</v>
      </c>
      <c r="U26" s="7">
        <v>0.14116300000000001</v>
      </c>
      <c r="V26" s="7">
        <v>0.509243</v>
      </c>
      <c r="W26" s="7">
        <v>0.19081899999999999</v>
      </c>
      <c r="X26" s="7">
        <v>9.3594999999999998E-2</v>
      </c>
      <c r="Y26">
        <v>0.11576500000000001</v>
      </c>
      <c r="Z26">
        <v>7.9665777796939403E-3</v>
      </c>
      <c r="AA26" s="8">
        <v>5.2912409034809101E-2</v>
      </c>
      <c r="AB26">
        <v>1.9665307020257101E-2</v>
      </c>
      <c r="AC26" s="8">
        <v>1.28643665435332E-2</v>
      </c>
      <c r="AD26" s="8">
        <v>7.4072875797684002E-3</v>
      </c>
      <c r="AE26" s="4">
        <v>53</v>
      </c>
      <c r="AF26" s="5">
        <v>0</v>
      </c>
      <c r="AG26" s="6" t="s">
        <v>33</v>
      </c>
    </row>
    <row r="27" spans="1:33" x14ac:dyDescent="0.2">
      <c r="A27">
        <f t="shared" si="0"/>
        <v>26</v>
      </c>
      <c r="B27" s="2">
        <v>650289.25589999999</v>
      </c>
      <c r="C27" s="2">
        <v>92267.519769999999</v>
      </c>
      <c r="D27" s="2">
        <v>20166.898120000002</v>
      </c>
      <c r="E27" s="2">
        <v>28223.1852</v>
      </c>
      <c r="F27" s="2">
        <v>0.81552412100000005</v>
      </c>
      <c r="G27" s="2">
        <v>0.115712181</v>
      </c>
      <c r="H27" s="2">
        <v>2.5291193999999999E-2</v>
      </c>
      <c r="I27" s="2">
        <v>3.5394539000000003E-2</v>
      </c>
      <c r="J27" s="2">
        <v>742556.77560000005</v>
      </c>
      <c r="K27" s="2">
        <v>48390.083330000001</v>
      </c>
      <c r="L27" s="2">
        <v>32.24537814</v>
      </c>
      <c r="M27" s="2">
        <v>3.9837607660000001</v>
      </c>
      <c r="N27" s="2">
        <v>13.43848184</v>
      </c>
      <c r="O27" s="2">
        <v>15.345226220000001</v>
      </c>
      <c r="P27" s="7">
        <v>0.61829400000000001</v>
      </c>
      <c r="Q27" s="7">
        <v>0.52038399999999996</v>
      </c>
      <c r="R27" s="7">
        <v>0.59186899999999998</v>
      </c>
      <c r="S27" s="7">
        <v>0.57108999999999999</v>
      </c>
      <c r="T27" s="7">
        <v>0.50322999999999996</v>
      </c>
      <c r="U27">
        <v>2.4813990000000001</v>
      </c>
      <c r="V27">
        <v>0.82233599999999996</v>
      </c>
      <c r="W27">
        <v>0.103598</v>
      </c>
      <c r="X27">
        <v>2.7042E-2</v>
      </c>
      <c r="Y27">
        <v>2.7047000000000002E-2</v>
      </c>
      <c r="Z27">
        <v>7.6724878810693897E-3</v>
      </c>
      <c r="AA27" s="8">
        <v>6.1556762909696597E-2</v>
      </c>
      <c r="AB27">
        <v>2.0480197936528201E-2</v>
      </c>
      <c r="AC27">
        <v>1.3022160289689499E-2</v>
      </c>
      <c r="AD27">
        <v>7.2230828427020796E-3</v>
      </c>
      <c r="AE27" s="4">
        <v>57</v>
      </c>
      <c r="AF27" s="5">
        <v>1</v>
      </c>
      <c r="AG27" s="6" t="s">
        <v>32</v>
      </c>
    </row>
    <row r="28" spans="1:33" x14ac:dyDescent="0.2">
      <c r="A28">
        <f t="shared" si="0"/>
        <v>27</v>
      </c>
      <c r="B28" s="2">
        <v>8763.1132199999993</v>
      </c>
      <c r="C28" s="2">
        <v>695.31689159999996</v>
      </c>
      <c r="D28" s="2">
        <v>260.59805490000002</v>
      </c>
      <c r="E28" s="2">
        <v>494.19662740000001</v>
      </c>
      <c r="F28" s="2">
        <v>0.84729820700000003</v>
      </c>
      <c r="G28" s="2">
        <v>6.7229618000000005E-2</v>
      </c>
      <c r="H28" s="2">
        <v>2.5197012000000001E-2</v>
      </c>
      <c r="I28" s="2">
        <v>4.7783464999999997E-2</v>
      </c>
      <c r="J28" s="2">
        <v>9458.430112</v>
      </c>
      <c r="K28" s="2">
        <v>754.79468240000006</v>
      </c>
      <c r="L28" s="2">
        <v>33.626932570000001</v>
      </c>
      <c r="M28" s="2">
        <v>1.9342805949999999</v>
      </c>
      <c r="N28" s="2">
        <v>11.609929729999999</v>
      </c>
      <c r="O28" s="2">
        <v>12.53112977</v>
      </c>
      <c r="P28" s="9">
        <v>0.61745099999999997</v>
      </c>
      <c r="Q28" s="9">
        <v>0.65512499999999996</v>
      </c>
      <c r="R28" s="9">
        <v>0.67849800000000005</v>
      </c>
      <c r="S28" s="9">
        <v>0.676315</v>
      </c>
      <c r="T28" s="9">
        <v>0.64968099999999995</v>
      </c>
      <c r="U28">
        <v>0.16100700000000001</v>
      </c>
      <c r="V28">
        <v>0.71870000000000001</v>
      </c>
      <c r="W28">
        <v>0.12405099999999999</v>
      </c>
      <c r="X28" s="7">
        <v>3.4590000000000003E-2</v>
      </c>
      <c r="Y28">
        <v>3.6400000000000002E-2</v>
      </c>
      <c r="Z28">
        <v>7.0238947115071901E-3</v>
      </c>
      <c r="AA28">
        <v>5.3532676282012297E-2</v>
      </c>
      <c r="AB28">
        <v>1.8964829544696402E-2</v>
      </c>
      <c r="AC28">
        <v>1.2582339155333499E-2</v>
      </c>
      <c r="AD28">
        <v>7.0616742464654899E-3</v>
      </c>
      <c r="AE28" s="4">
        <v>57</v>
      </c>
      <c r="AF28" s="5">
        <v>1</v>
      </c>
      <c r="AG28" s="6" t="s">
        <v>32</v>
      </c>
    </row>
    <row r="29" spans="1:33" x14ac:dyDescent="0.2">
      <c r="A29">
        <f t="shared" si="0"/>
        <v>28</v>
      </c>
      <c r="B29" s="7">
        <v>347.10151029999997</v>
      </c>
      <c r="C29" s="7">
        <v>294.61956529999998</v>
      </c>
      <c r="D29" s="7">
        <v>340.3972109</v>
      </c>
      <c r="E29" s="7">
        <v>548.48112600000002</v>
      </c>
      <c r="F29" s="7">
        <v>0.22325624999999999</v>
      </c>
      <c r="G29" s="7">
        <v>0.18949977900000001</v>
      </c>
      <c r="H29" s="7">
        <v>0.21894403400000001</v>
      </c>
      <c r="I29" s="7">
        <v>0.35278394299999999</v>
      </c>
      <c r="J29" s="7">
        <v>641.72107600000004</v>
      </c>
      <c r="K29" s="7">
        <v>888.87829999999997</v>
      </c>
      <c r="L29" s="7">
        <v>1.0196959999999999</v>
      </c>
      <c r="M29" s="7">
        <v>1.1577729999999999</v>
      </c>
      <c r="N29" s="7">
        <v>0.39049400000000001</v>
      </c>
      <c r="O29" s="7">
        <v>0.72194499999999995</v>
      </c>
      <c r="P29" s="9">
        <v>0.37751200000000001</v>
      </c>
      <c r="Q29" s="9">
        <v>0.47948600000000002</v>
      </c>
      <c r="R29" s="9">
        <v>0.52473800000000004</v>
      </c>
      <c r="S29" s="9">
        <v>0.52548099999999998</v>
      </c>
      <c r="T29" s="9">
        <v>0.47305999999999998</v>
      </c>
      <c r="U29">
        <v>6.6699999999999995E-4</v>
      </c>
      <c r="V29" s="9">
        <v>0.24285100000000001</v>
      </c>
      <c r="W29">
        <v>0.166908</v>
      </c>
      <c r="X29" s="9">
        <v>0.194248</v>
      </c>
      <c r="Y29">
        <v>0.335229</v>
      </c>
      <c r="Z29">
        <v>8.2583125808295601E-3</v>
      </c>
      <c r="AA29">
        <v>4.8946017275062301E-2</v>
      </c>
      <c r="AB29">
        <v>1.89283531703274E-2</v>
      </c>
      <c r="AC29">
        <v>1.27959834645589E-2</v>
      </c>
      <c r="AD29" s="8">
        <v>7.4796726209958603E-3</v>
      </c>
      <c r="AE29" s="4">
        <v>58</v>
      </c>
      <c r="AF29" s="5">
        <v>1</v>
      </c>
      <c r="AG29" s="6" t="s">
        <v>32</v>
      </c>
    </row>
    <row r="30" spans="1:33" x14ac:dyDescent="0.2">
      <c r="A30">
        <f t="shared" si="0"/>
        <v>29</v>
      </c>
      <c r="B30" s="2">
        <v>291041.95750000002</v>
      </c>
      <c r="C30" s="2">
        <v>137046.2151</v>
      </c>
      <c r="D30" s="2">
        <v>83757.129650000003</v>
      </c>
      <c r="E30" s="2">
        <v>171913.10810000001</v>
      </c>
      <c r="F30" s="2">
        <v>0.41594044200000002</v>
      </c>
      <c r="G30" s="2">
        <v>0.19585857600000001</v>
      </c>
      <c r="H30" s="2">
        <v>0.119700877</v>
      </c>
      <c r="I30" s="2">
        <v>0.24568833600000001</v>
      </c>
      <c r="J30" s="2">
        <v>428088.17259999999</v>
      </c>
      <c r="K30" s="2">
        <v>255670.2378</v>
      </c>
      <c r="L30" s="2">
        <v>3.4748320370000001</v>
      </c>
      <c r="M30" s="2">
        <v>1.284389231</v>
      </c>
      <c r="N30" s="2">
        <v>1.1383489920000001</v>
      </c>
      <c r="O30" s="2">
        <v>1.6743762449999999</v>
      </c>
      <c r="P30" s="9">
        <v>0.44824700000000001</v>
      </c>
      <c r="Q30" s="9">
        <v>0.59679700000000002</v>
      </c>
      <c r="R30" s="9">
        <v>0.59867800000000004</v>
      </c>
      <c r="S30" s="9">
        <v>0.56909299999999996</v>
      </c>
      <c r="T30" s="9">
        <v>0.51610500000000004</v>
      </c>
      <c r="U30">
        <v>2.240135</v>
      </c>
      <c r="V30">
        <v>0.44405099999999997</v>
      </c>
      <c r="W30">
        <v>0.15650800000000001</v>
      </c>
      <c r="X30">
        <v>9.0554999999999997E-2</v>
      </c>
      <c r="Y30">
        <v>0.20036300000000001</v>
      </c>
      <c r="Z30">
        <v>9.9930336472803701E-3</v>
      </c>
      <c r="AA30" s="8">
        <v>5.7645263359975198E-2</v>
      </c>
      <c r="AB30">
        <v>2.0321462889238501E-2</v>
      </c>
      <c r="AC30">
        <v>1.31082121952828E-2</v>
      </c>
      <c r="AD30" s="8">
        <v>7.40928335967717E-3</v>
      </c>
      <c r="AE30" s="4">
        <v>59</v>
      </c>
      <c r="AF30" s="5">
        <v>1</v>
      </c>
      <c r="AG30" s="6" t="s">
        <v>32</v>
      </c>
    </row>
    <row r="31" spans="1:33" x14ac:dyDescent="0.2">
      <c r="A31">
        <f t="shared" si="0"/>
        <v>30</v>
      </c>
      <c r="B31" s="7">
        <v>183.1150701</v>
      </c>
      <c r="C31" s="7">
        <v>270.3863369</v>
      </c>
      <c r="D31" s="7">
        <v>2022.5858049999999</v>
      </c>
      <c r="E31" s="7">
        <v>704.4958527</v>
      </c>
      <c r="F31" s="7">
        <v>5.6737778000000003E-2</v>
      </c>
      <c r="G31" s="7">
        <v>8.3778577000000007E-2</v>
      </c>
      <c r="H31" s="7">
        <v>0.62669350000000001</v>
      </c>
      <c r="I31" s="7">
        <v>0.21828639899999999</v>
      </c>
      <c r="J31" s="7">
        <v>453.50140699999997</v>
      </c>
      <c r="K31" s="7">
        <v>2727.0819999999999</v>
      </c>
      <c r="L31" s="7">
        <v>9.0535000000000004E-2</v>
      </c>
      <c r="M31" s="7">
        <v>3.2547700000000002</v>
      </c>
      <c r="N31" s="7">
        <v>6.7146999999999998E-2</v>
      </c>
      <c r="O31" s="7">
        <v>0.166295</v>
      </c>
      <c r="P31" s="9">
        <v>0.38542799999999999</v>
      </c>
      <c r="Q31" s="9">
        <v>0.424371</v>
      </c>
      <c r="R31" s="9">
        <v>0.51582899999999998</v>
      </c>
      <c r="S31" s="9">
        <v>0.59580999999999995</v>
      </c>
      <c r="T31" s="9">
        <v>0.46658100000000002</v>
      </c>
      <c r="U31">
        <v>1.549E-3</v>
      </c>
      <c r="V31">
        <v>9.1035000000000005E-2</v>
      </c>
      <c r="W31" s="9">
        <v>7.7238000000000001E-2</v>
      </c>
      <c r="X31" s="9">
        <v>0.40135100000000001</v>
      </c>
      <c r="Y31">
        <v>0.30544199999999999</v>
      </c>
      <c r="Z31">
        <v>7.2640438498853196E-3</v>
      </c>
      <c r="AA31">
        <v>4.9401215907180801E-2</v>
      </c>
      <c r="AB31">
        <v>1.7982403673688901E-2</v>
      </c>
      <c r="AC31">
        <v>1.24814344416019E-2</v>
      </c>
      <c r="AD31" s="8">
        <v>7.4851192437173702E-3</v>
      </c>
      <c r="AE31" s="4">
        <v>74</v>
      </c>
      <c r="AF31" s="5">
        <v>1</v>
      </c>
      <c r="AG31" s="6" t="s">
        <v>32</v>
      </c>
    </row>
    <row r="32" spans="1:33" x14ac:dyDescent="0.2"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9"/>
      <c r="Q32" s="9"/>
      <c r="R32" s="9"/>
      <c r="S32" s="9"/>
      <c r="T32" s="9"/>
      <c r="U32" s="9"/>
      <c r="V32" s="9"/>
      <c r="W32" s="9"/>
      <c r="X32" s="9"/>
      <c r="Y32" s="9"/>
      <c r="Z32" s="10"/>
      <c r="AB32" s="10"/>
      <c r="AC32" s="10"/>
      <c r="AE32" s="4"/>
      <c r="AF32" s="5"/>
      <c r="AG32" s="6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O365</dc:creator>
  <cp:lastModifiedBy>O365</cp:lastModifiedBy>
  <dcterms:created xsi:type="dcterms:W3CDTF">2026-03-06T01:04:14Z</dcterms:created>
  <dcterms:modified xsi:type="dcterms:W3CDTF">2026-03-15T21:01:36Z</dcterms:modified>
</cp:coreProperties>
</file>